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08a64dea2771848/Desktop/Sai_Entri/Excel Assignment 1 - Data Exploration/"/>
    </mc:Choice>
  </mc:AlternateContent>
  <xr:revisionPtr revIDLastSave="150" documentId="11_6E623FD8ECE4F609B1AC7BCCA7290F54B1BFD786" xr6:coauthVersionLast="47" xr6:coauthVersionMax="47" xr10:uidLastSave="{B9A7FCA3-E055-4334-AD62-68B8BA57BF26}"/>
  <bookViews>
    <workbookView xWindow="-108" yWindow="-108" windowWidth="23256" windowHeight="12576" activeTab="1" xr2:uid="{00000000-000D-0000-FFFF-FFFF00000000}"/>
  </bookViews>
  <sheets>
    <sheet name="Dataset" sheetId="2" r:id="rId1"/>
    <sheet name="Working" sheetId="3" r:id="rId2"/>
  </sheets>
  <definedNames>
    <definedName name="_xlnm._FilterDatabase" localSheetId="0" hidden="1">Dataset!$A$1:$F$35</definedName>
    <definedName name="_xlnm._FilterDatabase" localSheetId="1" hidden="1">Working!$A$1:$N$32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3" l="1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J35" i="3"/>
  <c r="K7" i="3" s="1"/>
  <c r="K3" i="3"/>
  <c r="K4" i="3"/>
  <c r="K5" i="3"/>
  <c r="K6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2" i="3"/>
  <c r="K23" i="3"/>
  <c r="K24" i="3"/>
  <c r="K25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F35" i="3"/>
  <c r="E35" i="3"/>
  <c r="D35" i="3"/>
  <c r="C35" i="3"/>
  <c r="B35" i="3"/>
  <c r="A35" i="3"/>
  <c r="K26" i="3" l="1"/>
  <c r="K21" i="3"/>
</calcChain>
</file>

<file path=xl/sharedStrings.xml><?xml version="1.0" encoding="utf-8"?>
<sst xmlns="http://schemas.openxmlformats.org/spreadsheetml/2006/main" count="334" uniqueCount="146">
  <si>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</si>
  <si>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</si>
  <si>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</si>
  <si>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</si>
  <si>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</si>
  <si>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</si>
  <si>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</si>
  <si>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</si>
  <si>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</si>
  <si>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</si>
  <si>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</si>
  <si>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</si>
  <si>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</si>
  <si>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</si>
  <si>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</si>
  <si>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</si>
  <si>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</si>
  <si>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</si>
  <si>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</si>
  <si>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</si>
  <si>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</si>
  <si>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</si>
  <si>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</si>
  <si>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</si>
  <si>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</si>
  <si>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</si>
  <si>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</si>
  <si>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</si>
  <si>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</si>
  <si>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</si>
  <si>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</si>
  <si>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</si>
  <si>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</si>
  <si>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</si>
  <si>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</si>
  <si>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</si>
  <si>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</si>
  <si>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</si>
  <si>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</si>
  <si>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</si>
  <si>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</si>
  <si>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</si>
  <si>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</si>
  <si>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</si>
  <si>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</si>
  <si>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</si>
  <si>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</si>
  <si>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</si>
  <si>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</si>
  <si>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</si>
  <si>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</si>
  <si>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</si>
  <si>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</si>
  <si>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</si>
  <si>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</si>
  <si>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</si>
  <si>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</si>
  <si>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</si>
  <si>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</si>
  <si>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</si>
  <si>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</si>
  <si>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</si>
  <si>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</si>
  <si>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</si>
  <si>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</si>
  <si>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</si>
  <si>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</si>
  <si>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</si>
  <si>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</si>
  <si>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</si>
  <si>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</si>
  <si>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</si>
  <si>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</si>
  <si>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</si>
  <si>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</si>
  <si>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</si>
  <si>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</si>
  <si>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</si>
  <si>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</si>
  <si>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</si>
  <si>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</si>
  <si>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</si>
  <si>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</si>
  <si>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</si>
  <si>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</si>
  <si>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</si>
  <si>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</si>
  <si>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</si>
  <si>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</si>
  <si>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</si>
  <si>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</si>
  <si>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</si>
  <si>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</si>
  <si>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</si>
  <si>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</si>
  <si>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</si>
  <si>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</si>
  <si>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</si>
  <si>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Electronicscs</t>
  </si>
  <si>
    <t xml:space="preserve"> 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</si>
  <si>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</si>
  <si>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</si>
  <si>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</si>
  <si>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</si>
  <si>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</si>
  <si>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</si>
  <si>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</si>
  <si>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</si>
  <si>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</si>
  <si>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</si>
  <si>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</si>
  <si>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</si>
  <si>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</si>
  <si>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Brand.</t>
  </si>
  <si>
    <t>Year</t>
  </si>
  <si>
    <t>Date</t>
  </si>
  <si>
    <t>28-JAN-2026</t>
  </si>
  <si>
    <t>15-FEB-2026</t>
  </si>
  <si>
    <t>03-MAR-2026</t>
  </si>
  <si>
    <t>11-APR-2026</t>
  </si>
  <si>
    <t>22-MAY-2026</t>
  </si>
  <si>
    <t>07-JUN-2026</t>
  </si>
  <si>
    <t>19-JUL-2026</t>
  </si>
  <si>
    <t>23-AUG-2026</t>
  </si>
  <si>
    <t>05-SEP-2026</t>
  </si>
  <si>
    <t>14-OCT-2026</t>
  </si>
  <si>
    <t>17-JUN-2026</t>
  </si>
  <si>
    <t>25-NOV-2026</t>
  </si>
  <si>
    <t>08-DEC-2026</t>
  </si>
  <si>
    <t>18-FEB-2026</t>
  </si>
  <si>
    <t>16-APR-2026</t>
  </si>
  <si>
    <t>21-AUG-2026</t>
  </si>
  <si>
    <t>20-AUG-2026</t>
  </si>
  <si>
    <t>27-JAN-2026</t>
  </si>
  <si>
    <t>01-MAR-2026</t>
  </si>
  <si>
    <t>14-AUG-2026</t>
  </si>
  <si>
    <t>14-MAY-2026</t>
  </si>
  <si>
    <t>09-JAN-2026</t>
  </si>
  <si>
    <t>29-SEP-2026</t>
  </si>
  <si>
    <t>03-JUN-2026</t>
  </si>
  <si>
    <t>11-JUL-2026</t>
  </si>
  <si>
    <t>07-MAR-2026</t>
  </si>
  <si>
    <t>13-APR-2026</t>
  </si>
  <si>
    <t>24-MAY-2026</t>
  </si>
  <si>
    <t>02-DEC-2026</t>
  </si>
  <si>
    <t>09-JUL-2026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</si>
</sst>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₹&quot;\ #,##0.00;&quot;₹&quot;\ \-#,##0.00"/>
    <numFmt numFmtId="164" formatCode="[$-14009]dd/mm/yy;@"/>
    <numFmt numFmtId="165" formatCode="&quot;₹&quot;\ #,##0.00"/>
  </numFmts>
  <fonts count="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7" fontId="0" fillId="0" borderId="0" xfId="0" applyNumberFormat="1"/>
    <xf numFmtId="7" fontId="5" fillId="0" borderId="0" xfId="0" applyNumberFormat="1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4" fontId="0" fillId="0" borderId="0" xfId="0" applyNumberFormat="1"/>
    <xf numFmtId="165" fontId="5" fillId="0" borderId="0" xfId="0" applyNumberFormat="1" applyFont="1" applyAlignment="1">
      <alignment horizontal="center"/>
    </xf>
    <xf numFmtId="165" fontId="0" fillId="0" borderId="0" xfId="0" applyNumberFormat="1"/>
    <xf numFmtId="0" fontId="0" fillId="0" borderId="1" xfId="0" applyBorder="1"/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I14" sqref="I14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6" ht="15.75" customHeight="1">
      <c r="A2" s="5" t="s">
        <v>6</v>
      </c>
      <c r="B2" s="5" t="s">
        <v>7</v>
      </c>
      <c r="C2" s="5" t="s">
        <v>8</v>
      </c>
      <c r="D2" s="5">
        <v>1000</v>
      </c>
      <c r="E2" s="5">
        <v>30</v>
      </c>
      <c r="F2" s="5" t="s">
        <v>9</v>
      </c>
    </row>
    <row r="3" spans="1:16" ht="15.75" customHeight="1">
      <c r="A3" s="6" t="s">
        <v>10</v>
      </c>
      <c r="B3" s="6" t="s">
        <v>11</v>
      </c>
      <c r="C3" s="6" t="s">
        <v>12</v>
      </c>
      <c r="D3" s="6">
        <v>80</v>
      </c>
      <c r="E3" s="6">
        <v>15</v>
      </c>
      <c r="F3" s="6" t="s">
        <v>13</v>
      </c>
      <c r="I3" s="2"/>
      <c r="J3" s="1"/>
      <c r="K3" s="1"/>
      <c r="L3" s="1"/>
      <c r="M3" s="1"/>
      <c r="N3" s="1"/>
      <c r="O3" s="1"/>
      <c r="P3" s="1"/>
    </row>
    <row r="4" spans="1:16" ht="15.75" customHeight="1">
      <c r="A4" s="5" t="s">
        <v>14</v>
      </c>
      <c r="B4" s="5" t="s">
        <v>15</v>
      </c>
      <c r="C4" s="5" t="s">
        <v>16</v>
      </c>
      <c r="D4" s="5">
        <v>130</v>
      </c>
      <c r="E4" s="5">
        <v>40</v>
      </c>
      <c r="F4" s="5" t="s">
        <v>17</v>
      </c>
      <c r="I4" s="1"/>
      <c r="J4" s="3"/>
      <c r="K4" s="1"/>
      <c r="L4" s="1"/>
      <c r="M4" s="1"/>
      <c r="N4" s="1"/>
      <c r="O4" s="1"/>
      <c r="P4" s="1"/>
    </row>
    <row r="5" spans="1:16" ht="15.75" customHeight="1">
      <c r="A5" s="6" t="s">
        <v>18</v>
      </c>
      <c r="B5" s="6" t="s">
        <v>19</v>
      </c>
      <c r="C5" s="6" t="s">
        <v>20</v>
      </c>
      <c r="D5" s="6">
        <v>900</v>
      </c>
      <c r="E5" s="6">
        <v>25</v>
      </c>
      <c r="F5" s="6" t="s">
        <v>9</v>
      </c>
      <c r="I5" s="1"/>
      <c r="J5" s="3"/>
      <c r="K5" s="1"/>
      <c r="L5" s="1"/>
      <c r="M5" s="1"/>
      <c r="N5" s="1"/>
      <c r="O5" s="1"/>
      <c r="P5" s="1"/>
    </row>
    <row r="6" spans="1:16" ht="15.75" customHeight="1">
      <c r="A6" s="5" t="s">
        <v>21</v>
      </c>
      <c r="B6" s="5" t="s">
        <v>22</v>
      </c>
      <c r="C6" s="5" t="s">
        <v>23</v>
      </c>
      <c r="D6" s="5">
        <v>70</v>
      </c>
      <c r="E6" s="5">
        <v>20</v>
      </c>
      <c r="F6" s="5"/>
    </row>
    <row r="7" spans="1:16" ht="15.75" customHeight="1">
      <c r="A7" s="6" t="s">
        <v>24</v>
      </c>
      <c r="B7" s="6" t="s">
        <v>25</v>
      </c>
      <c r="C7" s="6" t="s">
        <v>26</v>
      </c>
      <c r="D7" s="6"/>
      <c r="E7" s="6">
        <v>45</v>
      </c>
      <c r="F7" s="6" t="s">
        <v>27</v>
      </c>
    </row>
    <row r="8" spans="1:16" ht="15.75" customHeight="1">
      <c r="A8" s="5" t="s">
        <v>28</v>
      </c>
      <c r="B8" s="5" t="s">
        <v>29</v>
      </c>
      <c r="C8" s="5" t="s">
        <v>30</v>
      </c>
      <c r="D8" s="5">
        <v>30</v>
      </c>
      <c r="E8" s="5">
        <v>5</v>
      </c>
      <c r="F8" s="5" t="s">
        <v>13</v>
      </c>
    </row>
    <row r="9" spans="1:16" ht="15.75" customHeight="1">
      <c r="A9" s="6" t="s">
        <v>31</v>
      </c>
      <c r="B9" s="6" t="s">
        <v>32</v>
      </c>
      <c r="C9" s="6" t="s">
        <v>33</v>
      </c>
      <c r="D9" s="6">
        <v>90</v>
      </c>
      <c r="E9" s="6">
        <v>35</v>
      </c>
      <c r="F9" s="6" t="s">
        <v>17</v>
      </c>
    </row>
    <row r="10" spans="1:16" ht="15.75" customHeight="1">
      <c r="A10" s="5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5" t="s">
        <v>9</v>
      </c>
    </row>
    <row r="11" spans="1:16" ht="15.75" customHeight="1">
      <c r="A11" s="6" t="s">
        <v>37</v>
      </c>
      <c r="B11" s="6" t="s">
        <v>38</v>
      </c>
      <c r="C11" s="6" t="s">
        <v>39</v>
      </c>
      <c r="D11" s="6">
        <v>130</v>
      </c>
      <c r="E11" s="6">
        <v>10</v>
      </c>
      <c r="F11" s="6" t="s">
        <v>40</v>
      </c>
    </row>
    <row r="12" spans="1:16" ht="15.75" customHeight="1">
      <c r="A12" s="5" t="s">
        <v>41</v>
      </c>
      <c r="B12" s="5" t="s">
        <v>42</v>
      </c>
      <c r="C12" s="5" t="s">
        <v>43</v>
      </c>
      <c r="D12" s="5">
        <v>950</v>
      </c>
      <c r="E12" s="5">
        <v>25</v>
      </c>
      <c r="F12" s="5" t="s">
        <v>9</v>
      </c>
    </row>
    <row r="13" spans="1:16" ht="15.75" customHeight="1">
      <c r="A13" s="6" t="s">
        <v>44</v>
      </c>
      <c r="B13" s="6" t="s">
        <v>11</v>
      </c>
      <c r="C13" s="6" t="s">
        <v>30</v>
      </c>
      <c r="D13" s="6">
        <v>90</v>
      </c>
      <c r="E13" s="6">
        <v>40</v>
      </c>
      <c r="F13" s="6"/>
    </row>
    <row r="14" spans="1:16" ht="15.75" customHeight="1">
      <c r="A14" s="5" t="s">
        <v>45</v>
      </c>
      <c r="B14" s="5" t="s">
        <v>15</v>
      </c>
      <c r="C14" s="5" t="s">
        <v>46</v>
      </c>
      <c r="D14" s="5">
        <v>120</v>
      </c>
      <c r="E14" s="5">
        <v>35</v>
      </c>
      <c r="F14" s="5"/>
    </row>
    <row r="15" spans="1:16" ht="15.75" customHeight="1">
      <c r="A15" s="6" t="s">
        <v>47</v>
      </c>
      <c r="B15" s="6" t="s">
        <v>48</v>
      </c>
      <c r="C15" s="6" t="s">
        <v>49</v>
      </c>
      <c r="D15" s="6">
        <v>150</v>
      </c>
      <c r="E15" s="6">
        <v>15</v>
      </c>
      <c r="F15" s="6" t="s">
        <v>27</v>
      </c>
    </row>
    <row r="16" spans="1:16" ht="15.75" customHeight="1">
      <c r="A16" s="5" t="s">
        <v>50</v>
      </c>
      <c r="B16" s="5" t="s">
        <v>51</v>
      </c>
      <c r="C16" s="5" t="s">
        <v>52</v>
      </c>
      <c r="D16" s="5">
        <v>250</v>
      </c>
      <c r="E16" s="5">
        <v>20</v>
      </c>
      <c r="F16" s="5" t="s">
        <v>27</v>
      </c>
    </row>
    <row r="17" spans="1:6" ht="15.75" customHeight="1">
      <c r="A17" s="6" t="s">
        <v>53</v>
      </c>
      <c r="B17" s="6" t="s">
        <v>54</v>
      </c>
      <c r="C17" s="6" t="s">
        <v>55</v>
      </c>
      <c r="D17" s="6">
        <v>50</v>
      </c>
      <c r="E17" s="6">
        <v>35</v>
      </c>
      <c r="F17" s="6" t="s">
        <v>56</v>
      </c>
    </row>
    <row r="18" spans="1:6" ht="15.75" customHeight="1">
      <c r="A18" s="5" t="s">
        <v>57</v>
      </c>
      <c r="B18" s="5" t="s">
        <v>48</v>
      </c>
      <c r="C18" s="5" t="s">
        <v>58</v>
      </c>
      <c r="D18" s="5">
        <v>160</v>
      </c>
      <c r="E18" s="5">
        <v>15</v>
      </c>
      <c r="F18" s="5" t="s">
        <v>27</v>
      </c>
    </row>
    <row r="19" spans="1:6" ht="15.75" customHeight="1">
      <c r="A19" s="6" t="s">
        <v>59</v>
      </c>
      <c r="B19" s="6" t="s">
        <v>7</v>
      </c>
      <c r="C19" s="6" t="s">
        <v>60</v>
      </c>
      <c r="D19" s="6">
        <v>980</v>
      </c>
      <c r="E19" s="6">
        <v>10</v>
      </c>
      <c r="F19" s="6" t="s">
        <v>9</v>
      </c>
    </row>
    <row r="20" spans="1:6" ht="15.75" customHeight="1">
      <c r="A20" s="5" t="s">
        <v>61</v>
      </c>
      <c r="B20" s="5" t="s">
        <v>62</v>
      </c>
      <c r="C20" s="5" t="s">
        <v>63</v>
      </c>
      <c r="D20" s="5">
        <v>150</v>
      </c>
      <c r="E20" s="5">
        <v>15</v>
      </c>
      <c r="F20" s="5" t="s">
        <v>13</v>
      </c>
    </row>
    <row r="21" spans="1:6" ht="15.75" customHeight="1">
      <c r="A21" s="6" t="s">
        <v>64</v>
      </c>
      <c r="B21" s="6" t="s">
        <v>65</v>
      </c>
      <c r="C21" s="6" t="s">
        <v>66</v>
      </c>
      <c r="D21" s="6"/>
      <c r="E21" s="6">
        <v>10</v>
      </c>
      <c r="F21" s="6" t="s">
        <v>40</v>
      </c>
    </row>
    <row r="22" spans="1:6" ht="15.75" customHeight="1">
      <c r="A22" s="5" t="s">
        <v>67</v>
      </c>
      <c r="B22" s="5" t="s">
        <v>68</v>
      </c>
      <c r="C22" s="5" t="s">
        <v>69</v>
      </c>
      <c r="D22" s="5">
        <v>700</v>
      </c>
      <c r="E22" s="5">
        <v>50</v>
      </c>
      <c r="F22" s="5" t="s">
        <v>9</v>
      </c>
    </row>
    <row r="23" spans="1:6" ht="15.75" customHeight="1">
      <c r="A23" s="6" t="s">
        <v>70</v>
      </c>
      <c r="B23" s="6" t="s">
        <v>71</v>
      </c>
      <c r="C23" s="6" t="s">
        <v>72</v>
      </c>
      <c r="D23" s="6">
        <v>80</v>
      </c>
      <c r="E23" s="6">
        <v>20</v>
      </c>
      <c r="F23" s="6" t="s">
        <v>17</v>
      </c>
    </row>
    <row r="24" spans="1:6" ht="15.75" customHeight="1">
      <c r="A24" s="5" t="s">
        <v>73</v>
      </c>
      <c r="B24" s="5" t="s">
        <v>74</v>
      </c>
      <c r="C24" s="5" t="s">
        <v>75</v>
      </c>
      <c r="D24" s="5">
        <v>150</v>
      </c>
      <c r="E24" s="5">
        <v>30</v>
      </c>
      <c r="F24" s="5"/>
    </row>
    <row r="25" spans="1:6" ht="15.75" customHeight="1">
      <c r="A25" s="6" t="s">
        <v>53</v>
      </c>
      <c r="B25" s="6" t="s">
        <v>54</v>
      </c>
      <c r="C25" s="6" t="s">
        <v>55</v>
      </c>
      <c r="D25" s="6">
        <v>50</v>
      </c>
      <c r="E25" s="6">
        <v>35</v>
      </c>
      <c r="F25" s="6" t="s">
        <v>56</v>
      </c>
    </row>
    <row r="26" spans="1:6" ht="15.75" customHeight="1">
      <c r="A26" s="5" t="s">
        <v>76</v>
      </c>
      <c r="B26" s="5" t="s">
        <v>77</v>
      </c>
      <c r="C26" s="5" t="s">
        <v>78</v>
      </c>
      <c r="D26" s="5">
        <v>800</v>
      </c>
      <c r="E26" s="5">
        <v>45</v>
      </c>
      <c r="F26" s="5" t="s">
        <v>9</v>
      </c>
    </row>
    <row r="27" spans="1:6" ht="15.75" customHeight="1">
      <c r="A27" s="6" t="s">
        <v>79</v>
      </c>
      <c r="B27" s="6" t="s">
        <v>62</v>
      </c>
      <c r="C27" s="6" t="s">
        <v>80</v>
      </c>
      <c r="D27" s="6"/>
      <c r="E27" s="6">
        <v>25</v>
      </c>
      <c r="F27" s="6" t="s">
        <v>13</v>
      </c>
    </row>
    <row r="28" spans="1:6" ht="15.75" customHeight="1">
      <c r="A28" s="5" t="s">
        <v>81</v>
      </c>
      <c r="B28" s="5" t="s">
        <v>32</v>
      </c>
      <c r="C28" s="5" t="s">
        <v>82</v>
      </c>
      <c r="D28" s="5">
        <v>400</v>
      </c>
      <c r="E28" s="5">
        <v>40</v>
      </c>
      <c r="F28" s="5" t="s">
        <v>17</v>
      </c>
    </row>
    <row r="29" spans="1:6" ht="15.75" customHeight="1">
      <c r="A29" s="6" t="s">
        <v>50</v>
      </c>
      <c r="B29" s="6" t="s">
        <v>51</v>
      </c>
      <c r="C29" s="6" t="s">
        <v>52</v>
      </c>
      <c r="D29" s="6">
        <v>250</v>
      </c>
      <c r="E29" s="6">
        <v>20</v>
      </c>
      <c r="F29" s="6" t="s">
        <v>27</v>
      </c>
    </row>
    <row r="30" spans="1:6" ht="15.75" customHeight="1">
      <c r="A30" s="5" t="s">
        <v>83</v>
      </c>
      <c r="B30" s="5" t="s">
        <v>84</v>
      </c>
      <c r="C30" s="5" t="s">
        <v>85</v>
      </c>
      <c r="D30" s="5">
        <v>60</v>
      </c>
      <c r="E30" s="5">
        <v>30</v>
      </c>
      <c r="F30" s="5" t="s">
        <v>13</v>
      </c>
    </row>
    <row r="31" spans="1:6" ht="15.75" customHeight="1">
      <c r="A31" s="6" t="s">
        <v>86</v>
      </c>
      <c r="B31" s="6" t="s">
        <v>87</v>
      </c>
      <c r="C31" s="6" t="s">
        <v>88</v>
      </c>
      <c r="D31" s="6">
        <v>40</v>
      </c>
      <c r="E31" s="6">
        <v>10</v>
      </c>
      <c r="F31" s="6" t="s">
        <v>17</v>
      </c>
    </row>
    <row r="32" spans="1:6" ht="15.75" customHeight="1">
      <c r="A32" s="5" t="s">
        <v>89</v>
      </c>
      <c r="B32" s="5" t="s">
        <v>74</v>
      </c>
      <c r="C32" s="5" t="s">
        <v>90</v>
      </c>
      <c r="D32" s="5">
        <v>130</v>
      </c>
      <c r="E32" s="5">
        <v>5</v>
      </c>
      <c r="F32" s="5" t="s">
        <v>9</v>
      </c>
    </row>
    <row r="33" spans="1:6" ht="15.75" customHeight="1">
      <c r="A33" s="6" t="s">
        <v>91</v>
      </c>
      <c r="B33" s="6" t="s">
        <v>92</v>
      </c>
      <c r="C33" s="6" t="s">
        <v>93</v>
      </c>
      <c r="D33" s="6">
        <v>50</v>
      </c>
      <c r="E33" s="6">
        <v>50</v>
      </c>
      <c r="F33" s="6" t="s">
        <v>13</v>
      </c>
    </row>
    <row r="34" spans="1:6" ht="15.75" customHeight="1">
      <c r="A34" s="5" t="s">
        <v>41</v>
      </c>
      <c r="B34" s="5" t="s">
        <v>42</v>
      </c>
      <c r="C34" s="5" t="s">
        <v>43</v>
      </c>
      <c r="D34" s="5">
        <v>950</v>
      </c>
      <c r="E34" s="5">
        <v>25</v>
      </c>
      <c r="F34" s="5" t="s">
        <v>9</v>
      </c>
    </row>
    <row r="35" spans="1:6" ht="15.75" customHeight="1">
      <c r="A35" s="6" t="s">
        <v>94</v>
      </c>
      <c r="B35" s="6" t="s">
        <v>95</v>
      </c>
      <c r="C35" s="6" t="s">
        <v>96</v>
      </c>
      <c r="D35" s="6">
        <v>100</v>
      </c>
      <c r="E35" s="6">
        <v>20</v>
      </c>
      <c r="F35" s="6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3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F306-5950-4342-BC24-7E1D77D6F116}">
  <sheetPr>
    <tabColor rgb="FFFFFF00"/>
  </sheetPr>
  <dimension ref="A1:N35"/>
  <sheetViews>
    <sheetView tabSelected="1" topLeftCell="C1" workbookViewId="0">
      <selection activeCell="I12" sqref="I12"/>
    </sheetView>
  </sheetViews>
  <sheetFormatPr defaultRowHeight="13.2"/>
  <cols>
    <col min="1" max="1" width="12.33203125" customWidth="1"/>
    <col min="2" max="2" width="13.6640625" bestFit="1" customWidth="1"/>
    <col min="3" max="3" width="11.77734375" bestFit="1" customWidth="1"/>
    <col min="4" max="4" width="13.33203125" customWidth="1"/>
    <col min="5" max="5" width="11.33203125" customWidth="1"/>
    <col min="6" max="6" width="11" bestFit="1" customWidth="1"/>
    <col min="7" max="7" width="20" customWidth="1"/>
    <col min="8" max="8" width="15" customWidth="1"/>
    <col min="9" max="9" width="21.88671875" bestFit="1" customWidth="1"/>
    <col min="10" max="10" width="13.33203125" customWidth="1"/>
    <col min="11" max="11" width="19.44140625" style="15" customWidth="1"/>
    <col min="12" max="12" width="13.33203125" style="9" customWidth="1"/>
    <col min="13" max="13" width="23" style="13" customWidth="1"/>
    <col min="14" max="14" width="14.21875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1" t="s">
        <v>99</v>
      </c>
      <c r="H1" s="11" t="s">
        <v>100</v>
      </c>
      <c r="I1" s="11" t="s">
        <v>113</v>
      </c>
      <c r="J1" s="11" t="s">
        <v>3</v>
      </c>
      <c r="K1" s="11" t="s">
        <v>3</v>
      </c>
      <c r="L1" s="11" t="s">
        <v>114</v>
      </c>
      <c r="M1" s="11" t="s">
        <v>115</v>
      </c>
      <c r="N1" s="11" t="s">
        <v>115</v>
      </c>
    </row>
    <row r="2" spans="1:14">
      <c r="A2" s="5" t="s">
        <v>6</v>
      </c>
      <c r="B2" s="7" t="s">
        <v>42</v>
      </c>
      <c r="C2" s="5" t="s">
        <v>8</v>
      </c>
      <c r="D2" s="5">
        <v>1000</v>
      </c>
      <c r="E2" s="5">
        <v>30</v>
      </c>
      <c r="F2" s="5" t="s">
        <v>98</v>
      </c>
      <c r="G2" s="7" t="str">
        <f>LEFT(A2,6)</f>
        <v>28-JAN</v>
      </c>
      <c r="H2" s="7" t="s">
        <v>101</v>
      </c>
      <c r="I2" s="16" t="str">
        <f>CONCATENATE(C2,"_",B2)</f>
        <v>Dell_Laptop</v>
      </c>
      <c r="J2" s="5">
        <v>1000</v>
      </c>
      <c r="K2" s="17">
        <f t="shared" ref="K2:K32" si="0">IF(ISBLANK(J2),ROUND(AVERAGE(J2:J32),2),J2)</f>
        <v>1000</v>
      </c>
      <c r="L2" s="18">
        <v>2026</v>
      </c>
      <c r="M2" s="19" t="s">
        <v>116</v>
      </c>
      <c r="N2" t="str">
        <f>TEXT(M2,"dd-mm-yy")</f>
        <v>28-01-26</v>
      </c>
    </row>
    <row r="3" spans="1:14">
      <c r="A3" s="6" t="s">
        <v>10</v>
      </c>
      <c r="B3" s="7" t="s">
        <v>11</v>
      </c>
      <c r="C3" s="6" t="s">
        <v>12</v>
      </c>
      <c r="D3" s="6">
        <v>80</v>
      </c>
      <c r="E3" s="6">
        <v>15</v>
      </c>
      <c r="F3" s="6" t="s">
        <v>13</v>
      </c>
      <c r="G3" s="7" t="str">
        <f t="shared" ref="G3:G32" si="1">LEFT(A3,6)</f>
        <v>15-FEB</v>
      </c>
      <c r="H3" s="7" t="s">
        <v>101</v>
      </c>
      <c r="I3" s="16" t="str">
        <f t="shared" ref="I3:I32" si="2">CONCATENATE(C3,"_",B3)</f>
        <v>Nike_Sneakers</v>
      </c>
      <c r="J3" s="6">
        <v>80</v>
      </c>
      <c r="K3" s="17">
        <f t="shared" si="0"/>
        <v>80</v>
      </c>
      <c r="L3" s="18">
        <v>2026</v>
      </c>
      <c r="M3" s="19" t="s">
        <v>117</v>
      </c>
      <c r="N3" s="16" t="str">
        <f t="shared" ref="N3:N32" si="3">TEXT(M3,"dd-mm-yy")</f>
        <v>15-02-26</v>
      </c>
    </row>
    <row r="4" spans="1:14">
      <c r="A4" s="5" t="s">
        <v>14</v>
      </c>
      <c r="B4" s="7" t="s">
        <v>15</v>
      </c>
      <c r="C4" s="5" t="s">
        <v>16</v>
      </c>
      <c r="D4" s="5">
        <v>130</v>
      </c>
      <c r="E4" s="5">
        <v>40</v>
      </c>
      <c r="F4" s="5" t="s">
        <v>17</v>
      </c>
      <c r="G4" s="7" t="str">
        <f t="shared" si="1"/>
        <v>03-MAR</v>
      </c>
      <c r="H4" s="7" t="s">
        <v>101</v>
      </c>
      <c r="I4" s="16" t="str">
        <f t="shared" si="2"/>
        <v>Keurig_Coffee Maker</v>
      </c>
      <c r="J4" s="5">
        <v>130</v>
      </c>
      <c r="K4" s="17">
        <f t="shared" si="0"/>
        <v>130</v>
      </c>
      <c r="L4" s="18">
        <v>2026</v>
      </c>
      <c r="M4" s="19" t="s">
        <v>118</v>
      </c>
      <c r="N4" s="16" t="str">
        <f t="shared" si="3"/>
        <v>03-03-26</v>
      </c>
    </row>
    <row r="5" spans="1:14">
      <c r="A5" s="6" t="s">
        <v>18</v>
      </c>
      <c r="B5" s="7" t="s">
        <v>77</v>
      </c>
      <c r="C5" s="6" t="s">
        <v>20</v>
      </c>
      <c r="D5" s="6">
        <v>900</v>
      </c>
      <c r="E5" s="6">
        <v>25</v>
      </c>
      <c r="F5" s="6" t="s">
        <v>98</v>
      </c>
      <c r="G5" s="7" t="str">
        <f t="shared" si="1"/>
        <v>11-APR</v>
      </c>
      <c r="H5" s="7" t="s">
        <v>101</v>
      </c>
      <c r="I5" s="16" t="str">
        <f t="shared" si="2"/>
        <v>Samsung_Smartphone</v>
      </c>
      <c r="J5" s="6">
        <v>900</v>
      </c>
      <c r="K5" s="17">
        <f t="shared" si="0"/>
        <v>900</v>
      </c>
      <c r="L5" s="18">
        <v>2026</v>
      </c>
      <c r="M5" s="19" t="s">
        <v>119</v>
      </c>
      <c r="N5" s="16" t="str">
        <f t="shared" si="3"/>
        <v>11-04-26</v>
      </c>
    </row>
    <row r="6" spans="1:14">
      <c r="A6" s="5" t="s">
        <v>21</v>
      </c>
      <c r="B6" s="7" t="s">
        <v>22</v>
      </c>
      <c r="C6" s="5" t="s">
        <v>23</v>
      </c>
      <c r="D6" s="5">
        <v>70</v>
      </c>
      <c r="E6" s="5">
        <v>20</v>
      </c>
      <c r="F6" s="5"/>
      <c r="G6" s="7" t="str">
        <f t="shared" si="1"/>
        <v>22-MAY</v>
      </c>
      <c r="H6" s="7" t="s">
        <v>101</v>
      </c>
      <c r="I6" s="16" t="str">
        <f t="shared" si="2"/>
        <v>North Face_Backpack</v>
      </c>
      <c r="J6" s="5">
        <v>70</v>
      </c>
      <c r="K6" s="17">
        <f t="shared" si="0"/>
        <v>70</v>
      </c>
      <c r="L6" s="18">
        <v>2026</v>
      </c>
      <c r="M6" s="19" t="s">
        <v>120</v>
      </c>
      <c r="N6" s="16" t="str">
        <f t="shared" si="3"/>
        <v>22-05-26</v>
      </c>
    </row>
    <row r="7" spans="1:14">
      <c r="A7" s="6" t="s">
        <v>24</v>
      </c>
      <c r="B7" s="7" t="s">
        <v>25</v>
      </c>
      <c r="C7" s="6" t="s">
        <v>26</v>
      </c>
      <c r="D7" s="6"/>
      <c r="E7" s="6">
        <v>45</v>
      </c>
      <c r="F7" s="6" t="s">
        <v>9</v>
      </c>
      <c r="G7" s="7" t="str">
        <f t="shared" si="1"/>
        <v>07-JUN</v>
      </c>
      <c r="H7" s="7" t="s">
        <v>102</v>
      </c>
      <c r="I7" s="16" t="str">
        <f t="shared" si="2"/>
        <v>Sony_Headphones</v>
      </c>
      <c r="J7" s="6"/>
      <c r="K7" s="17">
        <f>IF(ISBLANK(J7),ROUND(AVERAGE(J7:J37),2),J7)</f>
        <v>256.79000000000002</v>
      </c>
      <c r="L7" s="18">
        <v>2026</v>
      </c>
      <c r="M7" s="19" t="s">
        <v>121</v>
      </c>
      <c r="N7" s="16" t="str">
        <f t="shared" si="3"/>
        <v>07-06-26</v>
      </c>
    </row>
    <row r="8" spans="1:14">
      <c r="A8" s="5" t="s">
        <v>28</v>
      </c>
      <c r="B8" s="7" t="s">
        <v>97</v>
      </c>
      <c r="C8" s="5" t="s">
        <v>30</v>
      </c>
      <c r="D8" s="5">
        <v>30</v>
      </c>
      <c r="E8" s="5">
        <v>5</v>
      </c>
      <c r="F8" s="5" t="s">
        <v>13</v>
      </c>
      <c r="G8" s="7" t="str">
        <f t="shared" si="1"/>
        <v>19-JUL</v>
      </c>
      <c r="H8" s="7" t="s">
        <v>102</v>
      </c>
      <c r="I8" s="16" t="str">
        <f t="shared" si="2"/>
        <v>Adidas_T-Shirt</v>
      </c>
      <c r="J8" s="5">
        <v>30</v>
      </c>
      <c r="K8" s="17">
        <f t="shared" si="0"/>
        <v>30</v>
      </c>
      <c r="L8" s="18">
        <v>2026</v>
      </c>
      <c r="M8" s="19" t="s">
        <v>122</v>
      </c>
      <c r="N8" s="16" t="str">
        <f t="shared" si="3"/>
        <v>19-07-26</v>
      </c>
    </row>
    <row r="9" spans="1:14">
      <c r="A9" s="6" t="s">
        <v>31</v>
      </c>
      <c r="B9" s="7" t="s">
        <v>32</v>
      </c>
      <c r="C9" s="6" t="s">
        <v>33</v>
      </c>
      <c r="D9" s="6">
        <v>90</v>
      </c>
      <c r="E9" s="6">
        <v>35</v>
      </c>
      <c r="F9" s="6" t="s">
        <v>17</v>
      </c>
      <c r="G9" s="7" t="str">
        <f t="shared" si="1"/>
        <v>23-AUG</v>
      </c>
      <c r="H9" s="7" t="s">
        <v>102</v>
      </c>
      <c r="I9" s="16" t="str">
        <f t="shared" si="2"/>
        <v>Ninja_Blender</v>
      </c>
      <c r="J9" s="6">
        <v>90</v>
      </c>
      <c r="K9" s="17">
        <f t="shared" si="0"/>
        <v>90</v>
      </c>
      <c r="L9" s="18">
        <v>2026</v>
      </c>
      <c r="M9" s="19" t="s">
        <v>123</v>
      </c>
      <c r="N9" s="16" t="str">
        <f t="shared" si="3"/>
        <v>23-08-26</v>
      </c>
    </row>
    <row r="10" spans="1:14">
      <c r="A10" s="5" t="s">
        <v>34</v>
      </c>
      <c r="B10" s="7" t="s">
        <v>35</v>
      </c>
      <c r="C10" s="5" t="s">
        <v>36</v>
      </c>
      <c r="D10" s="5">
        <v>500</v>
      </c>
      <c r="E10" s="5">
        <v>50</v>
      </c>
      <c r="F10" s="5" t="s">
        <v>98</v>
      </c>
      <c r="G10" s="7" t="str">
        <f t="shared" si="1"/>
        <v>05-SEP</v>
      </c>
      <c r="H10" s="7" t="s">
        <v>102</v>
      </c>
      <c r="I10" s="16" t="str">
        <f t="shared" si="2"/>
        <v>Apple_Tablet</v>
      </c>
      <c r="J10" s="5">
        <v>500</v>
      </c>
      <c r="K10" s="17">
        <f t="shared" si="0"/>
        <v>500</v>
      </c>
      <c r="L10" s="18">
        <v>2026</v>
      </c>
      <c r="M10" s="19" t="s">
        <v>124</v>
      </c>
      <c r="N10" s="16" t="str">
        <f t="shared" si="3"/>
        <v>05-09-26</v>
      </c>
    </row>
    <row r="11" spans="1:14">
      <c r="A11" s="6" t="s">
        <v>37</v>
      </c>
      <c r="B11" s="7" t="s">
        <v>38</v>
      </c>
      <c r="C11" s="6" t="s">
        <v>39</v>
      </c>
      <c r="D11" s="6">
        <v>130</v>
      </c>
      <c r="E11" s="6">
        <v>10</v>
      </c>
      <c r="F11" s="6" t="s">
        <v>40</v>
      </c>
      <c r="G11" s="7" t="str">
        <f t="shared" si="1"/>
        <v>14-OCT</v>
      </c>
      <c r="H11" s="7" t="s">
        <v>102</v>
      </c>
      <c r="I11" s="16" t="str">
        <f t="shared" si="2"/>
        <v>Timberland_Hiking Boots</v>
      </c>
      <c r="J11" s="6">
        <v>130</v>
      </c>
      <c r="K11" s="17">
        <f t="shared" si="0"/>
        <v>130</v>
      </c>
      <c r="L11" s="18">
        <v>2026</v>
      </c>
      <c r="M11" s="19" t="s">
        <v>125</v>
      </c>
      <c r="N11" s="16" t="str">
        <f t="shared" si="3"/>
        <v>14-10-26</v>
      </c>
    </row>
    <row r="12" spans="1:14">
      <c r="A12" s="5" t="s">
        <v>41</v>
      </c>
      <c r="B12" s="7" t="s">
        <v>42</v>
      </c>
      <c r="C12" s="5" t="s">
        <v>43</v>
      </c>
      <c r="D12" s="5">
        <v>950</v>
      </c>
      <c r="E12" s="5">
        <v>25</v>
      </c>
      <c r="F12" s="5" t="s">
        <v>98</v>
      </c>
      <c r="G12" s="7" t="str">
        <f t="shared" si="1"/>
        <v>17-JUN</v>
      </c>
      <c r="H12" s="7" t="s">
        <v>103</v>
      </c>
      <c r="I12" s="16" t="str">
        <f t="shared" si="2"/>
        <v>HP_Laptop</v>
      </c>
      <c r="J12" s="5">
        <v>950</v>
      </c>
      <c r="K12" s="17">
        <f t="shared" si="0"/>
        <v>950</v>
      </c>
      <c r="L12" s="18">
        <v>2026</v>
      </c>
      <c r="M12" s="19" t="s">
        <v>126</v>
      </c>
      <c r="N12" s="16" t="str">
        <f t="shared" si="3"/>
        <v>17-06-26</v>
      </c>
    </row>
    <row r="13" spans="1:14">
      <c r="A13" s="6" t="s">
        <v>44</v>
      </c>
      <c r="B13" s="7" t="s">
        <v>11</v>
      </c>
      <c r="C13" s="6" t="s">
        <v>30</v>
      </c>
      <c r="D13" s="6">
        <v>90</v>
      </c>
      <c r="E13" s="6">
        <v>40</v>
      </c>
      <c r="F13" s="6"/>
      <c r="G13" s="7" t="str">
        <f t="shared" si="1"/>
        <v>25-NOV</v>
      </c>
      <c r="H13" s="7" t="s">
        <v>104</v>
      </c>
      <c r="I13" s="16" t="str">
        <f t="shared" si="2"/>
        <v>Adidas_Sneakers</v>
      </c>
      <c r="J13" s="6">
        <v>90</v>
      </c>
      <c r="K13" s="17">
        <f t="shared" si="0"/>
        <v>90</v>
      </c>
      <c r="L13" s="18">
        <v>2026</v>
      </c>
      <c r="M13" s="19" t="s">
        <v>127</v>
      </c>
      <c r="N13" s="16" t="str">
        <f t="shared" si="3"/>
        <v>25-11-26</v>
      </c>
    </row>
    <row r="14" spans="1:14">
      <c r="A14" s="5" t="s">
        <v>45</v>
      </c>
      <c r="B14" s="7" t="s">
        <v>15</v>
      </c>
      <c r="C14" s="5" t="s">
        <v>46</v>
      </c>
      <c r="D14" s="5">
        <v>120</v>
      </c>
      <c r="E14" s="5">
        <v>35</v>
      </c>
      <c r="F14" s="5"/>
      <c r="G14" s="7" t="str">
        <f t="shared" si="1"/>
        <v>08-DEC</v>
      </c>
      <c r="H14" s="7" t="s">
        <v>105</v>
      </c>
      <c r="I14" s="16" t="str">
        <f t="shared" si="2"/>
        <v>Nespresso_Coffee Maker</v>
      </c>
      <c r="J14" s="5">
        <v>120</v>
      </c>
      <c r="K14" s="17">
        <f t="shared" si="0"/>
        <v>120</v>
      </c>
      <c r="L14" s="18">
        <v>2026</v>
      </c>
      <c r="M14" s="19" t="s">
        <v>128</v>
      </c>
      <c r="N14" s="16" t="str">
        <f t="shared" si="3"/>
        <v>08-12-26</v>
      </c>
    </row>
    <row r="15" spans="1:14">
      <c r="A15" s="6" t="s">
        <v>47</v>
      </c>
      <c r="B15" s="7" t="s">
        <v>48</v>
      </c>
      <c r="C15" s="6" t="s">
        <v>49</v>
      </c>
      <c r="D15" s="6">
        <v>150</v>
      </c>
      <c r="E15" s="6">
        <v>15</v>
      </c>
      <c r="F15" s="6" t="s">
        <v>9</v>
      </c>
      <c r="G15" s="7" t="str">
        <f t="shared" si="1"/>
        <v>18-FEB</v>
      </c>
      <c r="H15" s="7" t="s">
        <v>106</v>
      </c>
      <c r="I15" s="16" t="str">
        <f t="shared" si="2"/>
        <v>Fitbit_Smartwatch</v>
      </c>
      <c r="J15" s="6">
        <v>150</v>
      </c>
      <c r="K15" s="17">
        <f t="shared" si="0"/>
        <v>150</v>
      </c>
      <c r="L15" s="18">
        <v>2026</v>
      </c>
      <c r="M15" s="19" t="s">
        <v>129</v>
      </c>
      <c r="N15" s="16" t="str">
        <f t="shared" si="3"/>
        <v>18-02-26</v>
      </c>
    </row>
    <row r="16" spans="1:14">
      <c r="A16" s="5" t="s">
        <v>50</v>
      </c>
      <c r="B16" s="7" t="s">
        <v>25</v>
      </c>
      <c r="C16" s="5" t="s">
        <v>52</v>
      </c>
      <c r="D16" s="5">
        <v>250</v>
      </c>
      <c r="E16" s="5">
        <v>20</v>
      </c>
      <c r="F16" s="5" t="s">
        <v>9</v>
      </c>
      <c r="G16" s="7" t="str">
        <f t="shared" si="1"/>
        <v>16-APR</v>
      </c>
      <c r="H16" s="7" t="s">
        <v>107</v>
      </c>
      <c r="I16" s="16" t="str">
        <f t="shared" si="2"/>
        <v>Bose_Headphones</v>
      </c>
      <c r="J16" s="5">
        <v>250</v>
      </c>
      <c r="K16" s="17">
        <f t="shared" si="0"/>
        <v>250</v>
      </c>
      <c r="L16" s="18">
        <v>2026</v>
      </c>
      <c r="M16" s="19" t="s">
        <v>130</v>
      </c>
      <c r="N16" s="16" t="str">
        <f t="shared" si="3"/>
        <v>16-04-26</v>
      </c>
    </row>
    <row r="17" spans="1:14">
      <c r="A17" s="6" t="s">
        <v>53</v>
      </c>
      <c r="B17" s="7" t="s">
        <v>54</v>
      </c>
      <c r="C17" s="6" t="s">
        <v>55</v>
      </c>
      <c r="D17" s="6">
        <v>50</v>
      </c>
      <c r="E17" s="6">
        <v>35</v>
      </c>
      <c r="F17" s="6" t="s">
        <v>56</v>
      </c>
      <c r="G17" s="7" t="str">
        <f t="shared" si="1"/>
        <v>21-AUG</v>
      </c>
      <c r="H17" s="7" t="s">
        <v>106</v>
      </c>
      <c r="I17" s="16" t="str">
        <f t="shared" si="2"/>
        <v>Samsonite_Laptop Bag</v>
      </c>
      <c r="J17" s="6">
        <v>50</v>
      </c>
      <c r="K17" s="17">
        <f t="shared" si="0"/>
        <v>50</v>
      </c>
      <c r="L17" s="18">
        <v>2026</v>
      </c>
      <c r="M17" s="19" t="s">
        <v>131</v>
      </c>
      <c r="N17" s="16" t="str">
        <f t="shared" si="3"/>
        <v>21-08-26</v>
      </c>
    </row>
    <row r="18" spans="1:14">
      <c r="A18" s="5" t="s">
        <v>57</v>
      </c>
      <c r="B18" s="7" t="s">
        <v>48</v>
      </c>
      <c r="C18" s="5" t="s">
        <v>58</v>
      </c>
      <c r="D18" s="5">
        <v>160</v>
      </c>
      <c r="E18" s="5">
        <v>15</v>
      </c>
      <c r="F18" s="5" t="s">
        <v>9</v>
      </c>
      <c r="G18" s="7" t="str">
        <f t="shared" si="1"/>
        <v>20-AUG</v>
      </c>
      <c r="H18" s="7" t="s">
        <v>108</v>
      </c>
      <c r="I18" s="16" t="str">
        <f t="shared" si="2"/>
        <v>Huawei_Smartwatch</v>
      </c>
      <c r="J18" s="5">
        <v>160</v>
      </c>
      <c r="K18" s="17">
        <f t="shared" si="0"/>
        <v>160</v>
      </c>
      <c r="L18" s="18">
        <v>2026</v>
      </c>
      <c r="M18" s="19" t="s">
        <v>132</v>
      </c>
      <c r="N18" s="16" t="str">
        <f t="shared" si="3"/>
        <v>20-08-26</v>
      </c>
    </row>
    <row r="19" spans="1:14">
      <c r="A19" s="6" t="s">
        <v>59</v>
      </c>
      <c r="B19" s="7" t="s">
        <v>42</v>
      </c>
      <c r="C19" s="6" t="s">
        <v>60</v>
      </c>
      <c r="D19" s="6">
        <v>980</v>
      </c>
      <c r="E19" s="6">
        <v>10</v>
      </c>
      <c r="F19" s="6" t="s">
        <v>98</v>
      </c>
      <c r="G19" s="7" t="str">
        <f t="shared" si="1"/>
        <v>27-JAN</v>
      </c>
      <c r="H19" s="7" t="s">
        <v>109</v>
      </c>
      <c r="I19" s="16" t="str">
        <f t="shared" si="2"/>
        <v>Asus_Laptop</v>
      </c>
      <c r="J19" s="6">
        <v>980</v>
      </c>
      <c r="K19" s="17">
        <f t="shared" si="0"/>
        <v>980</v>
      </c>
      <c r="L19" s="18">
        <v>2026</v>
      </c>
      <c r="M19" s="19" t="s">
        <v>133</v>
      </c>
      <c r="N19" s="16" t="str">
        <f t="shared" si="3"/>
        <v>27-01-26</v>
      </c>
    </row>
    <row r="20" spans="1:14">
      <c r="A20" s="5" t="s">
        <v>61</v>
      </c>
      <c r="B20" s="7" t="s">
        <v>62</v>
      </c>
      <c r="C20" s="5" t="s">
        <v>63</v>
      </c>
      <c r="D20" s="5">
        <v>150</v>
      </c>
      <c r="E20" s="5">
        <v>15</v>
      </c>
      <c r="F20" s="5" t="s">
        <v>13</v>
      </c>
      <c r="G20" s="7" t="str">
        <f t="shared" si="1"/>
        <v>01-MAR</v>
      </c>
      <c r="H20" s="7" t="s">
        <v>102</v>
      </c>
      <c r="I20" s="16" t="str">
        <f t="shared" si="2"/>
        <v>Oakley_Sunglasses</v>
      </c>
      <c r="J20" s="5">
        <v>150</v>
      </c>
      <c r="K20" s="17">
        <f t="shared" si="0"/>
        <v>150</v>
      </c>
      <c r="L20" s="18">
        <v>2026</v>
      </c>
      <c r="M20" s="19" t="s">
        <v>134</v>
      </c>
      <c r="N20" s="16" t="str">
        <f t="shared" si="3"/>
        <v>01-03-26</v>
      </c>
    </row>
    <row r="21" spans="1:14">
      <c r="A21" s="6" t="s">
        <v>64</v>
      </c>
      <c r="B21" s="7" t="s">
        <v>65</v>
      </c>
      <c r="C21" s="6" t="s">
        <v>66</v>
      </c>
      <c r="D21" s="6"/>
      <c r="E21" s="6">
        <v>10</v>
      </c>
      <c r="F21" s="6" t="s">
        <v>40</v>
      </c>
      <c r="G21" s="7" t="str">
        <f t="shared" si="1"/>
        <v>14-AUG</v>
      </c>
      <c r="H21" s="7" t="s">
        <v>101</v>
      </c>
      <c r="I21" s="16" t="str">
        <f t="shared" si="2"/>
        <v>Coleman_Camping Tent</v>
      </c>
      <c r="J21" s="6"/>
      <c r="K21" s="17">
        <f t="shared" si="0"/>
        <v>228.45</v>
      </c>
      <c r="L21" s="18">
        <v>2026</v>
      </c>
      <c r="M21" s="19" t="s">
        <v>135</v>
      </c>
      <c r="N21" s="16" t="str">
        <f t="shared" si="3"/>
        <v>14-08-26</v>
      </c>
    </row>
    <row r="22" spans="1:14">
      <c r="A22" s="5" t="s">
        <v>67</v>
      </c>
      <c r="B22" s="7" t="s">
        <v>68</v>
      </c>
      <c r="C22" s="5" t="s">
        <v>69</v>
      </c>
      <c r="D22" s="5">
        <v>700</v>
      </c>
      <c r="E22" s="5">
        <v>50</v>
      </c>
      <c r="F22" s="5" t="s">
        <v>98</v>
      </c>
      <c r="G22" s="7" t="str">
        <f t="shared" si="1"/>
        <v>14-MAY</v>
      </c>
      <c r="H22" s="7" t="s">
        <v>110</v>
      </c>
      <c r="I22" s="16" t="str">
        <f t="shared" si="2"/>
        <v>Nikon_Camera</v>
      </c>
      <c r="J22" s="5">
        <v>700</v>
      </c>
      <c r="K22" s="17">
        <f t="shared" si="0"/>
        <v>700</v>
      </c>
      <c r="L22" s="18">
        <v>2026</v>
      </c>
      <c r="M22" s="19" t="s">
        <v>136</v>
      </c>
      <c r="N22" s="16" t="str">
        <f t="shared" si="3"/>
        <v>14-05-26</v>
      </c>
    </row>
    <row r="23" spans="1:14">
      <c r="A23" s="6" t="s">
        <v>70</v>
      </c>
      <c r="B23" s="7" t="s">
        <v>71</v>
      </c>
      <c r="C23" s="6" t="s">
        <v>72</v>
      </c>
      <c r="D23" s="6">
        <v>80</v>
      </c>
      <c r="E23" s="6">
        <v>20</v>
      </c>
      <c r="F23" s="6" t="s">
        <v>17</v>
      </c>
      <c r="G23" s="7" t="str">
        <f t="shared" si="1"/>
        <v>09-JAN</v>
      </c>
      <c r="H23" s="7" t="s">
        <v>106</v>
      </c>
      <c r="I23" s="16" t="str">
        <f t="shared" si="2"/>
        <v>Panasonic_Microwave</v>
      </c>
      <c r="J23" s="6">
        <v>80</v>
      </c>
      <c r="K23" s="17">
        <f t="shared" si="0"/>
        <v>80</v>
      </c>
      <c r="L23" s="18">
        <v>2026</v>
      </c>
      <c r="M23" s="19" t="s">
        <v>137</v>
      </c>
      <c r="N23" s="16" t="str">
        <f t="shared" si="3"/>
        <v>09-01-26</v>
      </c>
    </row>
    <row r="24" spans="1:14">
      <c r="A24" s="5" t="s">
        <v>73</v>
      </c>
      <c r="B24" s="7" t="s">
        <v>74</v>
      </c>
      <c r="C24" s="5" t="s">
        <v>75</v>
      </c>
      <c r="D24" s="5">
        <v>150</v>
      </c>
      <c r="E24" s="5">
        <v>30</v>
      </c>
      <c r="F24" s="5"/>
      <c r="G24" s="7" t="str">
        <f t="shared" si="1"/>
        <v>19-JUL</v>
      </c>
      <c r="H24" s="7" t="s">
        <v>111</v>
      </c>
      <c r="I24" s="16" t="str">
        <f t="shared" si="2"/>
        <v>Xiaomi_Fitness Tracker</v>
      </c>
      <c r="J24" s="5">
        <v>150</v>
      </c>
      <c r="K24" s="17">
        <f t="shared" si="0"/>
        <v>150</v>
      </c>
      <c r="L24" s="18">
        <v>2026</v>
      </c>
      <c r="M24" s="19" t="s">
        <v>122</v>
      </c>
      <c r="N24" s="16" t="str">
        <f t="shared" si="3"/>
        <v>19-07-26</v>
      </c>
    </row>
    <row r="25" spans="1:14">
      <c r="A25" s="5" t="s">
        <v>76</v>
      </c>
      <c r="B25" s="7" t="s">
        <v>77</v>
      </c>
      <c r="C25" s="5" t="s">
        <v>78</v>
      </c>
      <c r="D25" s="5">
        <v>800</v>
      </c>
      <c r="E25" s="5">
        <v>45</v>
      </c>
      <c r="F25" s="5" t="s">
        <v>98</v>
      </c>
      <c r="G25" s="7" t="str">
        <f t="shared" si="1"/>
        <v>29-SEP</v>
      </c>
      <c r="H25" s="7" t="s">
        <v>106</v>
      </c>
      <c r="I25" s="16" t="str">
        <f t="shared" si="2"/>
        <v>Google_Smartphone</v>
      </c>
      <c r="J25" s="5">
        <v>800</v>
      </c>
      <c r="K25" s="17">
        <f t="shared" si="0"/>
        <v>800</v>
      </c>
      <c r="L25" s="18">
        <v>2026</v>
      </c>
      <c r="M25" s="19" t="s">
        <v>138</v>
      </c>
      <c r="N25" s="16" t="str">
        <f t="shared" si="3"/>
        <v>29-09-26</v>
      </c>
    </row>
    <row r="26" spans="1:14">
      <c r="A26" s="6" t="s">
        <v>79</v>
      </c>
      <c r="B26" s="7" t="s">
        <v>62</v>
      </c>
      <c r="C26" s="6" t="s">
        <v>80</v>
      </c>
      <c r="D26" s="6"/>
      <c r="E26" s="6">
        <v>25</v>
      </c>
      <c r="F26" s="6" t="s">
        <v>13</v>
      </c>
      <c r="G26" s="7" t="str">
        <f t="shared" si="1"/>
        <v>03-JUN</v>
      </c>
      <c r="H26" s="7" t="s">
        <v>106</v>
      </c>
      <c r="I26" s="16" t="str">
        <f t="shared" si="2"/>
        <v>Ray-Ban_Sunglasses</v>
      </c>
      <c r="J26" s="6"/>
      <c r="K26" s="17">
        <f t="shared" si="0"/>
        <v>111.86</v>
      </c>
      <c r="L26" s="18">
        <v>2026</v>
      </c>
      <c r="M26" s="19" t="s">
        <v>139</v>
      </c>
      <c r="N26" s="16" t="str">
        <f t="shared" si="3"/>
        <v>03-06-26</v>
      </c>
    </row>
    <row r="27" spans="1:14">
      <c r="A27" s="5" t="s">
        <v>81</v>
      </c>
      <c r="B27" s="7" t="s">
        <v>32</v>
      </c>
      <c r="C27" s="5" t="s">
        <v>82</v>
      </c>
      <c r="D27" s="5">
        <v>400</v>
      </c>
      <c r="E27" s="5">
        <v>40</v>
      </c>
      <c r="F27" s="5" t="s">
        <v>17</v>
      </c>
      <c r="G27" s="7" t="str">
        <f t="shared" si="1"/>
        <v>11-JUL</v>
      </c>
      <c r="H27" s="7" t="s">
        <v>106</v>
      </c>
      <c r="I27" s="16" t="str">
        <f t="shared" si="2"/>
        <v>Vitamix_Blender</v>
      </c>
      <c r="J27" s="5">
        <v>400</v>
      </c>
      <c r="K27" s="17">
        <f t="shared" si="0"/>
        <v>400</v>
      </c>
      <c r="L27" s="18">
        <v>2026</v>
      </c>
      <c r="M27" s="19" t="s">
        <v>140</v>
      </c>
      <c r="N27" s="16" t="str">
        <f t="shared" si="3"/>
        <v>11-07-26</v>
      </c>
    </row>
    <row r="28" spans="1:14">
      <c r="A28" s="5" t="s">
        <v>83</v>
      </c>
      <c r="B28" s="7" t="s">
        <v>84</v>
      </c>
      <c r="C28" s="5" t="s">
        <v>85</v>
      </c>
      <c r="D28" s="5">
        <v>60</v>
      </c>
      <c r="E28" s="5">
        <v>30</v>
      </c>
      <c r="F28" s="5" t="s">
        <v>13</v>
      </c>
      <c r="G28" s="7" t="str">
        <f t="shared" si="1"/>
        <v>07-MAR</v>
      </c>
      <c r="H28" s="7" t="s">
        <v>106</v>
      </c>
      <c r="I28" s="16" t="str">
        <f t="shared" si="2"/>
        <v>Zara_Dress</v>
      </c>
      <c r="J28" s="5">
        <v>60</v>
      </c>
      <c r="K28" s="17">
        <f t="shared" si="0"/>
        <v>60</v>
      </c>
      <c r="L28" s="18">
        <v>2026</v>
      </c>
      <c r="M28" s="19" t="s">
        <v>141</v>
      </c>
      <c r="N28" s="16" t="str">
        <f t="shared" si="3"/>
        <v>07-03-26</v>
      </c>
    </row>
    <row r="29" spans="1:14">
      <c r="A29" s="6" t="s">
        <v>86</v>
      </c>
      <c r="B29" s="7" t="s">
        <v>87</v>
      </c>
      <c r="C29" s="6" t="s">
        <v>88</v>
      </c>
      <c r="D29" s="6">
        <v>40</v>
      </c>
      <c r="E29" s="6">
        <v>10</v>
      </c>
      <c r="F29" s="6" t="s">
        <v>17</v>
      </c>
      <c r="G29" s="7" t="str">
        <f t="shared" si="1"/>
        <v>13-APR</v>
      </c>
      <c r="H29" s="7" t="s">
        <v>106</v>
      </c>
      <c r="I29" s="16" t="str">
        <f t="shared" si="2"/>
        <v>Hamilton_Toaster</v>
      </c>
      <c r="J29" s="6">
        <v>40</v>
      </c>
      <c r="K29" s="17">
        <f t="shared" si="0"/>
        <v>40</v>
      </c>
      <c r="L29" s="18">
        <v>2026</v>
      </c>
      <c r="M29" s="19" t="s">
        <v>142</v>
      </c>
      <c r="N29" s="16" t="str">
        <f t="shared" si="3"/>
        <v>13-04-26</v>
      </c>
    </row>
    <row r="30" spans="1:14">
      <c r="A30" s="5" t="s">
        <v>89</v>
      </c>
      <c r="B30" s="7" t="s">
        <v>74</v>
      </c>
      <c r="C30" s="5" t="s">
        <v>90</v>
      </c>
      <c r="D30" s="5">
        <v>130</v>
      </c>
      <c r="E30" s="5">
        <v>5</v>
      </c>
      <c r="F30" s="5" t="s">
        <v>98</v>
      </c>
      <c r="G30" s="7" t="str">
        <f t="shared" si="1"/>
        <v>24-MAY</v>
      </c>
      <c r="H30" s="7" t="s">
        <v>106</v>
      </c>
      <c r="I30" s="16" t="str">
        <f t="shared" si="2"/>
        <v>Garmin_Fitness Tracker</v>
      </c>
      <c r="J30" s="5">
        <v>130</v>
      </c>
      <c r="K30" s="17">
        <f t="shared" si="0"/>
        <v>130</v>
      </c>
      <c r="L30" s="18">
        <v>2026</v>
      </c>
      <c r="M30" s="19" t="s">
        <v>143</v>
      </c>
      <c r="N30" s="16" t="str">
        <f t="shared" si="3"/>
        <v>24-05-26</v>
      </c>
    </row>
    <row r="31" spans="1:14">
      <c r="A31" s="6" t="s">
        <v>91</v>
      </c>
      <c r="B31" s="7" t="s">
        <v>92</v>
      </c>
      <c r="C31" s="6" t="s">
        <v>93</v>
      </c>
      <c r="D31" s="6">
        <v>50</v>
      </c>
      <c r="E31" s="6">
        <v>50</v>
      </c>
      <c r="F31" s="6" t="s">
        <v>13</v>
      </c>
      <c r="G31" s="7" t="str">
        <f t="shared" si="1"/>
        <v>02-DEC</v>
      </c>
      <c r="H31" s="7" t="s">
        <v>106</v>
      </c>
      <c r="I31" s="16" t="str">
        <f t="shared" si="2"/>
        <v>Levi's_Jeans</v>
      </c>
      <c r="J31" s="6">
        <v>50</v>
      </c>
      <c r="K31" s="17">
        <f t="shared" si="0"/>
        <v>50</v>
      </c>
      <c r="L31" s="18">
        <v>2026</v>
      </c>
      <c r="M31" s="19" t="s">
        <v>144</v>
      </c>
      <c r="N31" s="16" t="str">
        <f t="shared" si="3"/>
        <v>02-12-26</v>
      </c>
    </row>
    <row r="32" spans="1:14">
      <c r="A32" s="6" t="s">
        <v>94</v>
      </c>
      <c r="B32" s="7" t="s">
        <v>95</v>
      </c>
      <c r="C32" s="6" t="s">
        <v>96</v>
      </c>
      <c r="D32" s="6">
        <v>100</v>
      </c>
      <c r="E32" s="6">
        <v>20</v>
      </c>
      <c r="F32" s="6" t="s">
        <v>56</v>
      </c>
      <c r="G32" s="7" t="str">
        <f t="shared" si="1"/>
        <v>09-JUL</v>
      </c>
      <c r="H32" s="7" t="s">
        <v>112</v>
      </c>
      <c r="I32" s="16" t="str">
        <f t="shared" si="2"/>
        <v>Casio_Watch</v>
      </c>
      <c r="J32" s="6">
        <v>100</v>
      </c>
      <c r="K32" s="17">
        <f t="shared" si="0"/>
        <v>100</v>
      </c>
      <c r="L32" s="18">
        <v>2026</v>
      </c>
      <c r="M32" s="19" t="s">
        <v>145</v>
      </c>
      <c r="N32" s="16" t="str">
        <f t="shared" si="3"/>
        <v>09-07-26</v>
      </c>
    </row>
    <row r="35" spans="1:13">
      <c r="A35" s="8">
        <f>COUNTBLANK(A2:A32)</f>
        <v>0</v>
      </c>
      <c r="B35" s="8">
        <f t="shared" ref="B35:F35" si="4">COUNTBLANK(B2:B32)</f>
        <v>0</v>
      </c>
      <c r="C35" s="8">
        <f t="shared" si="4"/>
        <v>0</v>
      </c>
      <c r="D35" s="8">
        <f t="shared" si="4"/>
        <v>3</v>
      </c>
      <c r="E35" s="8">
        <f t="shared" si="4"/>
        <v>0</v>
      </c>
      <c r="F35" s="8">
        <f t="shared" si="4"/>
        <v>4</v>
      </c>
      <c r="J35" s="8">
        <f t="shared" ref="J35" si="5">COUNTBLANK(J2:J32)</f>
        <v>3</v>
      </c>
      <c r="K35" s="14"/>
      <c r="L35" s="10"/>
      <c r="M35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Murugan Duraivel</cp:lastModifiedBy>
  <dcterms:created xsi:type="dcterms:W3CDTF">2026-07-23T14:43:37Z</dcterms:created>
  <dcterms:modified xsi:type="dcterms:W3CDTF">2026-09-04T16:53:26Z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